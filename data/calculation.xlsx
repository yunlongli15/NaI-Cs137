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<sst xmlns="http://schemas.openxmlformats.org/spreadsheetml/2006/main" count="13" uniqueCount="13">
  <si>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核素</t>
  </si>
  <si>
    <t xml:space="preserve">E</t>
  </si>
  <si>
    <t xml:space="preserve">发射几率</t>
  </si>
  <si>
    <r>
      <rPr>
        <sz val="10"/>
        <rFont val="Noto Sans CJK SC"/>
        <family val="2"/>
      </rPr>
      <t xml:space="preserve">本底计数</t>
    </r>
    <r>
      <rPr>
        <sz val="10"/>
        <rFont val="Arial"/>
        <family val="2"/>
      </rPr>
      <t xml:space="preserve">(630keV-690keV)</t>
    </r>
  </si>
  <si>
    <r>
      <rPr>
        <sz val="10"/>
        <rFont val="Noto Sans CJK SC"/>
        <family val="2"/>
      </rPr>
      <t xml:space="preserve">本底计数时长</t>
    </r>
    <r>
      <rPr>
        <sz val="10"/>
        <rFont val="Arial"/>
        <family val="2"/>
      </rPr>
      <t xml:space="preserve">(s)</t>
    </r>
  </si>
  <si>
    <r>
      <rPr>
        <sz val="10"/>
        <rFont val="Noto Sans CJK SC"/>
        <family val="2"/>
      </rPr>
      <t xml:space="preserve">模拟半球型室内体积</t>
    </r>
    <r>
      <rPr>
        <sz val="10"/>
        <rFont val="Arial"/>
        <family val="2"/>
      </rPr>
      <t xml:space="preserve">(m3)</t>
    </r>
  </si>
  <si>
    <r>
      <rPr>
        <sz val="10"/>
        <rFont val="Noto Sans CJK SC"/>
        <family val="2"/>
      </rPr>
      <t xml:space="preserve">活度浓度设置</t>
    </r>
    <r>
      <rPr>
        <sz val="10"/>
        <rFont val="Arial"/>
        <family val="2"/>
      </rPr>
      <t xml:space="preserve">(Bq/m3)</t>
    </r>
  </si>
  <si>
    <r>
      <rPr>
        <sz val="10"/>
        <rFont val="Noto Sans CJK SC"/>
        <family val="2"/>
      </rPr>
      <t xml:space="preserve">模拟时长</t>
    </r>
    <r>
      <rPr>
        <sz val="10"/>
        <rFont val="Arial"/>
        <family val="2"/>
      </rPr>
      <t xml:space="preserve">(s)</t>
    </r>
  </si>
  <si>
    <r>
      <rPr>
        <sz val="10"/>
        <rFont val="Noto Sans CJK SC"/>
        <family val="2"/>
      </rPr>
      <t xml:space="preserve">全能峰计数</t>
    </r>
    <r>
      <rPr>
        <sz val="10"/>
        <rFont val="Arial"/>
        <family val="2"/>
      </rPr>
      <t xml:space="preserve">(&gt;630keV)</t>
    </r>
  </si>
  <si>
    <t xml:space="preserve">总事件数</t>
  </si>
  <si>
    <t xml:space="preserve">探测效率</t>
  </si>
  <si>
    <r>
      <rPr>
        <sz val="10"/>
        <rFont val="Noto Sans CJK SC"/>
        <family val="2"/>
      </rPr>
      <t xml:space="preserve">探测限</t>
    </r>
    <r>
      <rPr>
        <sz val="10"/>
        <rFont val="Arial"/>
        <family val="2"/>
      </rPr>
      <t xml:space="preserve">(Bq/m3, HJ1149)</t>
    </r>
  </si>
  <si>
    <t xml:space="preserve">Cs-137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</si>
</sst>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2.51"/>
    <col collapsed="false" customWidth="true" hidden="false" outlineLevel="0" max="7" min="6" style="0" width="14.16"/>
    <col collapsed="false" customWidth="true" hidden="false" outlineLevel="0" max="9" min="9" style="0" width="18.61"/>
    <col collapsed="false" customWidth="true" hidden="false" outlineLevel="0" max="12" min="12" style="0" width="20.56"/>
  </cols>
  <sheetData>
    <row r="1" customFormat="false" ht="15.6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1" t="s">
        <v>12</v>
      </c>
      <c r="B2" s="2" t="n">
        <v>661.65</v>
      </c>
      <c r="C2" s="2" t="n">
        <v>0.8998</v>
      </c>
      <c r="D2" s="2" t="n">
        <v>4979</v>
      </c>
      <c r="E2" s="2" t="n">
        <v>3718.76635</v>
      </c>
      <c r="F2" s="2" t="n">
        <f aca="false">2/3*3.1415926*5^3</f>
        <v>261.799383333333</v>
      </c>
      <c r="G2" s="0" t="n">
        <v>100</v>
      </c>
      <c r="H2" s="2" t="n">
        <v>3200</v>
      </c>
      <c r="I2" s="0" t="n">
        <v>3572</v>
      </c>
      <c r="J2" s="0" t="n">
        <v>97390244</v>
      </c>
      <c r="K2" s="0" t="n">
        <f aca="false">I2/J2</f>
        <v>3.66771850371378E-005</v>
      </c>
      <c r="L2" s="0" t="n">
        <f aca="false">4.66*1*SQRT($D2)/($H2*$F2*K2*$C2)</f>
        <v>11.8931363283846</v>
      </c>
    </row>
    <row r="3" customFormat="false" ht="12.8" hidden="false" customHeight="false" outlineLevel="0" collapsed="false">
      <c r="B3" s="2"/>
      <c r="C3" s="2"/>
      <c r="D3" s="2"/>
      <c r="E3" s="2"/>
      <c r="F3" s="2"/>
      <c r="G3" s="0" t="n">
        <v>10</v>
      </c>
      <c r="H3" s="2"/>
      <c r="I3" s="0" t="n">
        <v>386</v>
      </c>
      <c r="J3" s="0" t="n">
        <v>9742134</v>
      </c>
      <c r="K3" s="0" t="n">
        <f aca="false">I3/J3</f>
        <v>3.96217091655689E-005</v>
      </c>
      <c r="L3" s="0" t="n">
        <f aca="false">4.66*1*SQRT($D2)/($H2*$F2*K3*$C2)</f>
        <v>11.0092868524493</v>
      </c>
    </row>
    <row r="4" customFormat="false" ht="12.8" hidden="false" customHeight="false" outlineLevel="0" collapsed="false">
      <c r="B4" s="2"/>
      <c r="C4" s="2"/>
      <c r="D4" s="2"/>
      <c r="E4" s="2"/>
      <c r="F4" s="2"/>
      <c r="H4" s="2"/>
    </row>
    <row r="5" customFormat="false" ht="12.8" hidden="false" customHeight="false" outlineLevel="0" collapsed="false">
      <c r="B5" s="2"/>
      <c r="C5" s="2"/>
      <c r="D5" s="2"/>
      <c r="E5" s="2"/>
      <c r="F5" s="2"/>
      <c r="H5" s="2"/>
    </row>
    <row r="6" customFormat="false" ht="12.8" hidden="false" customHeight="false" outlineLevel="0" collapsed="false">
      <c r="B6" s="2"/>
      <c r="C6" s="2"/>
      <c r="D6" s="2"/>
      <c r="E6" s="2"/>
      <c r="F6" s="2"/>
      <c r="H6" s="2"/>
    </row>
    <row r="7" customFormat="false" ht="12.8" hidden="false" customHeight="false" outlineLevel="0" collapsed="false">
      <c r="B7" s="2"/>
      <c r="C7" s="2"/>
      <c r="D7" s="2"/>
      <c r="E7" s="2"/>
      <c r="F7" s="2"/>
      <c r="H7" s="2"/>
    </row>
  </sheetData>
  <mergeCells count="6">
    <mergeCell ref="B2:B7"/>
    <mergeCell ref="C2:C7"/>
    <mergeCell ref="D2:D7"/>
    <mergeCell ref="E2:E7"/>
    <mergeCell ref="F2:F7"/>
    <mergeCell ref="H2:H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2025-12-02T15:26:58Z</dcterms:created>
  <dc:creator/>
  <dc:description/>
  <dc:language>zh-CN</dc:language>
  <cp:lastModifiedBy/>
  <dcterms:modified xsi:type="dcterms:W3CDTF">2025-12-03T10:55:31Z</dcterms:modified>
  <cp:revision>5</cp:revision>
  <dc:subject/>
  <dc:title/>
</cp:coreProperties>
</file>